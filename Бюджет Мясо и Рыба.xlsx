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orolkova\Desktop\Новая папка\Заполнено_в работу\"/>
    </mc:Choice>
  </mc:AlternateContent>
  <xr:revisionPtr revIDLastSave="0" documentId="13_ncr:1_{59D3D6C6-152A-4F11-8EAA-924183C82D83}" xr6:coauthVersionLast="47" xr6:coauthVersionMax="47" xr10:uidLastSave="{00000000-0000-0000-0000-000000000000}"/>
  <bookViews>
    <workbookView xWindow="-110" yWindow="-110" windowWidth="19420" windowHeight="10300" xr2:uid="{FF12FF6A-576F-45FA-986C-8AD372A54A11}"/>
  </bookViews>
  <sheets>
    <sheet name="Мясо и рыб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H39" i="1"/>
  <c r="G39" i="1"/>
  <c r="I39" i="1" s="1"/>
  <c r="H38" i="1"/>
  <c r="G38" i="1"/>
  <c r="I38" i="1" s="1"/>
  <c r="H37" i="1"/>
  <c r="G37" i="1"/>
  <c r="I37" i="1" s="1"/>
  <c r="H36" i="1"/>
  <c r="G36" i="1"/>
  <c r="I36" i="1" s="1"/>
  <c r="H35" i="1"/>
  <c r="G35" i="1"/>
  <c r="I35" i="1" s="1"/>
  <c r="H34" i="1"/>
  <c r="G34" i="1"/>
  <c r="H33" i="1"/>
  <c r="G33" i="1"/>
  <c r="I33" i="1" s="1"/>
  <c r="H32" i="1"/>
  <c r="G32" i="1"/>
  <c r="I32" i="1" s="1"/>
  <c r="H31" i="1"/>
  <c r="H30" i="1" s="1"/>
  <c r="H20" i="1" s="1"/>
  <c r="H10" i="1" s="1"/>
  <c r="G31" i="1"/>
  <c r="H29" i="1"/>
  <c r="G29" i="1"/>
  <c r="I29" i="1" s="1"/>
  <c r="H28" i="1"/>
  <c r="G28" i="1"/>
  <c r="I28" i="1" s="1"/>
  <c r="H27" i="1"/>
  <c r="G27" i="1"/>
  <c r="I27" i="1" s="1"/>
  <c r="H26" i="1"/>
  <c r="G26" i="1"/>
  <c r="I26" i="1" s="1"/>
  <c r="H25" i="1"/>
  <c r="G25" i="1"/>
  <c r="I25" i="1" s="1"/>
  <c r="I24" i="1"/>
  <c r="H23" i="1"/>
  <c r="G23" i="1"/>
  <c r="I23" i="1" s="1"/>
  <c r="I22" i="1"/>
  <c r="I21" i="1"/>
  <c r="H14" i="1"/>
  <c r="G14" i="1"/>
  <c r="H13" i="1"/>
  <c r="G13" i="1"/>
  <c r="I13" i="1" s="1"/>
  <c r="G12" i="1"/>
  <c r="H12" i="1" s="1"/>
  <c r="G30" i="1" l="1"/>
  <c r="I31" i="1"/>
  <c r="I30" i="1" l="1"/>
  <c r="G20" i="1"/>
  <c r="I20" i="1" l="1"/>
  <c r="G10" i="1"/>
  <c r="I10" i="1" s="1"/>
  <c r="G19" i="1"/>
  <c r="H19" i="1" s="1"/>
</calcChain>
</file>

<file path=xl/sharedStrings.xml><?xml version="1.0" encoding="utf-8"?>
<sst xmlns="http://schemas.openxmlformats.org/spreadsheetml/2006/main" count="48" uniqueCount="38">
  <si>
    <t>Средний чек</t>
  </si>
  <si>
    <t>Посещаемость первой недели</t>
  </si>
  <si>
    <t>Посещаемость Второй недели</t>
  </si>
  <si>
    <t>СС фуд</t>
  </si>
  <si>
    <t>Дней работы в декабре</t>
  </si>
  <si>
    <t>Дней работы в январе</t>
  </si>
  <si>
    <t>Призовой фонд в день</t>
  </si>
  <si>
    <t>Декабрь</t>
  </si>
  <si>
    <t>Январь</t>
  </si>
  <si>
    <t>Итог</t>
  </si>
  <si>
    <t>Прибыль</t>
  </si>
  <si>
    <t>Доход накопительным итогом</t>
  </si>
  <si>
    <t>Доходы</t>
  </si>
  <si>
    <t>Еда</t>
  </si>
  <si>
    <t>Расходы накопительным итогом</t>
  </si>
  <si>
    <t>Расходы</t>
  </si>
  <si>
    <t>Реклама и продвижение (VK)</t>
  </si>
  <si>
    <t>Изготовление и поставка рекламного баннера</t>
  </si>
  <si>
    <t>Оборудование ФУД</t>
  </si>
  <si>
    <t>ФОТ ФУД</t>
  </si>
  <si>
    <t>Повара</t>
  </si>
  <si>
    <t>Клининг</t>
  </si>
  <si>
    <t>Официанты</t>
  </si>
  <si>
    <t>Бармены</t>
  </si>
  <si>
    <t>ФОТ Анимация</t>
  </si>
  <si>
    <t>Ведущий (5 часов в день)</t>
  </si>
  <si>
    <t>час</t>
  </si>
  <si>
    <t>Аниматоры (5 часов в день)</t>
  </si>
  <si>
    <t>Диджей (3 часа в день 4 дня)</t>
  </si>
  <si>
    <t>Дед Мороз и Снегурочка ( на 7 дней)</t>
  </si>
  <si>
    <t>день</t>
  </si>
  <si>
    <t>Мастер классы (аниматоры 3 часа в день)</t>
  </si>
  <si>
    <t>Мастер классы (расходники)</t>
  </si>
  <si>
    <t>Аренда оборудования для диджея 4 дня</t>
  </si>
  <si>
    <t>Аренда оборудования для ведущего 10 дней (без диджея)</t>
  </si>
  <si>
    <t>Призовой фонд</t>
  </si>
  <si>
    <t>налоги на ФОТ ФУД (*1,46)</t>
  </si>
  <si>
    <t>смена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</si>
</sst>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44" fontId="0" fillId="0" borderId="0" xfId="1" applyFont="1" applyFill="1"/>
    <xf numFmtId="9" fontId="0" fillId="0" borderId="0" xfId="2" applyFont="1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/>
    <xf numFmtId="0" fontId="3" fillId="2" borderId="3" xfId="0" applyFont="1" applyFill="1" applyBorder="1"/>
    <xf numFmtId="44" fontId="3" fillId="2" borderId="3" xfId="0" applyNumberFormat="1" applyFont="1" applyFill="1" applyBorder="1" applyAlignment="1">
      <alignment horizontal="center" vertical="center"/>
    </xf>
    <xf numFmtId="44" fontId="0" fillId="0" borderId="4" xfId="0" applyNumberFormat="1" applyBorder="1"/>
    <xf numFmtId="0" fontId="2" fillId="2" borderId="0" xfId="0" applyFont="1" applyFill="1"/>
    <xf numFmtId="44" fontId="2" fillId="2" borderId="0" xfId="0" applyNumberFormat="1" applyFont="1" applyFill="1" applyAlignment="1">
      <alignment horizontal="center" vertical="center"/>
    </xf>
    <xf numFmtId="0" fontId="0" fillId="0" borderId="4" xfId="0" applyBorder="1"/>
    <xf numFmtId="0" fontId="3" fillId="3" borderId="2" xfId="0" applyFont="1" applyFill="1" applyBorder="1"/>
    <xf numFmtId="0" fontId="3" fillId="3" borderId="3" xfId="0" applyFont="1" applyFill="1" applyBorder="1"/>
    <xf numFmtId="44" fontId="3" fillId="3" borderId="3" xfId="0" applyNumberFormat="1" applyFont="1" applyFill="1" applyBorder="1" applyAlignment="1">
      <alignment horizontal="center" vertical="center"/>
    </xf>
    <xf numFmtId="0" fontId="2" fillId="3" borderId="5" xfId="0" applyFont="1" applyFill="1" applyBorder="1"/>
    <xf numFmtId="44" fontId="2" fillId="3" borderId="5" xfId="0" applyNumberFormat="1" applyFont="1" applyFill="1" applyBorder="1"/>
    <xf numFmtId="44" fontId="2" fillId="3" borderId="6" xfId="0" applyNumberFormat="1" applyFont="1" applyFill="1" applyBorder="1"/>
    <xf numFmtId="0" fontId="0" fillId="0" borderId="7" xfId="0" applyBorder="1"/>
    <xf numFmtId="44" fontId="0" fillId="0" borderId="7" xfId="1" applyFont="1" applyBorder="1"/>
    <xf numFmtId="44" fontId="0" fillId="0" borderId="8" xfId="1" applyFont="1" applyBorder="1"/>
    <xf numFmtId="0" fontId="0" fillId="0" borderId="9" xfId="0" applyBorder="1"/>
    <xf numFmtId="44" fontId="0" fillId="0" borderId="9" xfId="1" applyFont="1" applyBorder="1"/>
    <xf numFmtId="44" fontId="0" fillId="0" borderId="10" xfId="1" applyFont="1" applyBorder="1"/>
    <xf numFmtId="0" fontId="3" fillId="4" borderId="11" xfId="0" applyFont="1" applyFill="1" applyBorder="1"/>
    <xf numFmtId="0" fontId="3" fillId="4" borderId="12" xfId="0" applyFont="1" applyFill="1" applyBorder="1"/>
    <xf numFmtId="44" fontId="3" fillId="4" borderId="12" xfId="1" applyFont="1" applyFill="1" applyBorder="1"/>
    <xf numFmtId="44" fontId="3" fillId="4" borderId="13" xfId="1" applyFont="1" applyFill="1" applyBorder="1"/>
    <xf numFmtId="0" fontId="2" fillId="4" borderId="5" xfId="0" applyFont="1" applyFill="1" applyBorder="1"/>
    <xf numFmtId="44" fontId="2" fillId="4" borderId="5" xfId="0" applyNumberFormat="1" applyFont="1" applyFill="1" applyBorder="1"/>
    <xf numFmtId="44" fontId="2" fillId="4" borderId="6" xfId="0" applyNumberFormat="1" applyFont="1" applyFill="1" applyBorder="1"/>
    <xf numFmtId="44" fontId="2" fillId="0" borderId="4" xfId="0" applyNumberFormat="1" applyFont="1" applyBorder="1"/>
    <xf numFmtId="0" fontId="0" fillId="0" borderId="5" xfId="0" applyBorder="1"/>
    <xf numFmtId="0" fontId="2" fillId="5" borderId="5" xfId="0" applyFont="1" applyFill="1" applyBorder="1"/>
    <xf numFmtId="44" fontId="2" fillId="0" borderId="5" xfId="0" applyNumberFormat="1" applyFont="1" applyBorder="1"/>
    <xf numFmtId="44" fontId="2" fillId="5" borderId="4" xfId="0" applyNumberFormat="1" applyFont="1" applyFill="1" applyBorder="1"/>
    <xf numFmtId="44" fontId="2" fillId="5" borderId="6" xfId="0" applyNumberFormat="1" applyFont="1" applyFill="1" applyBorder="1"/>
    <xf numFmtId="44" fontId="2" fillId="0" borderId="7" xfId="1" applyFont="1" applyBorder="1"/>
    <xf numFmtId="44" fontId="2" fillId="0" borderId="8" xfId="1" applyFont="1" applyBorder="1"/>
    <xf numFmtId="44" fontId="2" fillId="0" borderId="7" xfId="1" applyFont="1" applyFill="1" applyBorder="1"/>
    <xf numFmtId="44" fontId="2" fillId="0" borderId="8" xfId="1" applyFont="1" applyFill="1" applyBorder="1"/>
    <xf numFmtId="0" fontId="2" fillId="0" borderId="7" xfId="0" applyFont="1" applyBorder="1"/>
    <xf numFmtId="0" fontId="0" fillId="0" borderId="7" xfId="0" applyBorder="1" applyAlignment="1">
      <alignment horizontal="center" vertical="center"/>
    </xf>
    <xf numFmtId="44" fontId="0" fillId="0" borderId="7" xfId="0" applyNumberFormat="1" applyBorder="1"/>
    <xf numFmtId="44" fontId="0" fillId="5" borderId="4" xfId="0" applyNumberFormat="1" applyFill="1" applyBorder="1"/>
    <xf numFmtId="0" fontId="2" fillId="0" borderId="7" xfId="0" applyFont="1" applyBorder="1" applyAlignment="1">
      <alignment horizontal="center" vertical="center"/>
    </xf>
    <xf numFmtId="44" fontId="2" fillId="0" borderId="7" xfId="0" applyNumberFormat="1" applyFont="1" applyBorder="1"/>
    <xf numFmtId="0" fontId="0" fillId="0" borderId="7" xfId="0" applyBorder="1" applyAlignment="1">
      <alignment horizontal="center"/>
    </xf>
    <xf numFmtId="44" fontId="1" fillId="0" borderId="8" xfId="1" applyFont="1" applyBorder="1"/>
    <xf numFmtId="0" fontId="4" fillId="0" borderId="7" xfId="0" applyFont="1" applyBorder="1"/>
    <xf numFmtId="44" fontId="1" fillId="0" borderId="8" xfId="1" applyFont="1" applyFill="1" applyBorder="1"/>
    <xf numFmtId="44" fontId="4" fillId="0" borderId="7" xfId="0" applyNumberFormat="1" applyFont="1" applyBorder="1"/>
    <xf numFmtId="44" fontId="5" fillId="0" borderId="7" xfId="1" applyFont="1" applyFill="1" applyBorder="1"/>
    <xf numFmtId="44" fontId="5" fillId="0" borderId="8" xfId="1" applyFont="1" applyFill="1" applyBorder="1"/>
    <xf numFmtId="0" fontId="0" fillId="0" borderId="14" xfId="0" applyBorder="1"/>
    <xf numFmtId="9" fontId="4" fillId="0" borderId="0" xfId="2" applyFont="1" applyFill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BC7B-B4BB-4006-87AF-6138033E1037}">
  <dimension ref="C1:I40"/>
  <sheetViews>
    <sheetView tabSelected="1" topLeftCell="A7" zoomScale="54" zoomScaleNormal="54" workbookViewId="0">
      <selection activeCell="M32" sqref="M32"/>
    </sheetView>
  </sheetViews>
  <sheetFormatPr defaultRowHeight="14.5" x14ac:dyDescent="0.35"/>
  <cols>
    <col min="3" max="3" width="54.6328125" customWidth="1"/>
    <col min="4" max="4" width="12.81640625" customWidth="1"/>
    <col min="5" max="5" width="22.1796875" customWidth="1"/>
    <col min="7" max="7" width="21.453125" customWidth="1"/>
    <col min="8" max="8" width="24" customWidth="1"/>
    <col min="9" max="9" width="19" customWidth="1"/>
  </cols>
  <sheetData>
    <row r="1" spans="3:9" x14ac:dyDescent="0.35">
      <c r="C1" t="s">
        <v>0</v>
      </c>
      <c r="D1" s="1">
        <v>2500</v>
      </c>
    </row>
    <row r="2" spans="3:9" x14ac:dyDescent="0.35">
      <c r="C2" t="s">
        <v>1</v>
      </c>
      <c r="D2">
        <v>3000</v>
      </c>
    </row>
    <row r="3" spans="3:9" x14ac:dyDescent="0.35">
      <c r="C3" t="s">
        <v>2</v>
      </c>
      <c r="D3">
        <v>3000</v>
      </c>
    </row>
    <row r="4" spans="3:9" x14ac:dyDescent="0.35">
      <c r="C4" t="s">
        <v>3</v>
      </c>
      <c r="D4" s="2">
        <v>0.23</v>
      </c>
    </row>
    <row r="5" spans="3:9" x14ac:dyDescent="0.35">
      <c r="C5" t="s">
        <v>36</v>
      </c>
      <c r="D5" s="55">
        <v>0.46</v>
      </c>
    </row>
    <row r="6" spans="3:9" x14ac:dyDescent="0.35">
      <c r="C6" t="s">
        <v>4</v>
      </c>
      <c r="D6">
        <v>7</v>
      </c>
    </row>
    <row r="7" spans="3:9" x14ac:dyDescent="0.35">
      <c r="C7" t="s">
        <v>5</v>
      </c>
      <c r="D7">
        <v>7</v>
      </c>
    </row>
    <row r="8" spans="3:9" ht="15" thickBot="1" x14ac:dyDescent="0.4">
      <c r="C8" t="s">
        <v>6</v>
      </c>
      <c r="D8">
        <v>20000</v>
      </c>
    </row>
    <row r="9" spans="3:9" ht="15" thickBot="1" x14ac:dyDescent="0.4">
      <c r="G9" s="3" t="s">
        <v>7</v>
      </c>
      <c r="H9" s="3" t="s">
        <v>8</v>
      </c>
      <c r="I9" s="4" t="s">
        <v>9</v>
      </c>
    </row>
    <row r="10" spans="3:9" ht="16" thickBot="1" x14ac:dyDescent="0.4">
      <c r="C10" s="5" t="s">
        <v>10</v>
      </c>
      <c r="D10" s="6"/>
      <c r="E10" s="6"/>
      <c r="F10" s="6"/>
      <c r="G10" s="7">
        <f>G13-G20</f>
        <v>825447.23404255323</v>
      </c>
      <c r="H10" s="7">
        <f>H13-H20</f>
        <v>880979.14893617015</v>
      </c>
      <c r="I10" s="8">
        <f>SUM(G10:H10)</f>
        <v>1706426.3829787234</v>
      </c>
    </row>
    <row r="11" spans="3:9" ht="15" thickBot="1" x14ac:dyDescent="0.4">
      <c r="C11" s="9"/>
      <c r="D11" s="9"/>
      <c r="E11" s="9"/>
      <c r="F11" s="9"/>
      <c r="G11" s="10"/>
      <c r="H11" s="10"/>
      <c r="I11" s="11"/>
    </row>
    <row r="12" spans="3:9" ht="16" thickBot="1" x14ac:dyDescent="0.4">
      <c r="C12" s="12" t="s">
        <v>11</v>
      </c>
      <c r="D12" s="13"/>
      <c r="E12" s="13"/>
      <c r="F12" s="13"/>
      <c r="G12" s="14">
        <f>G13</f>
        <v>7500000</v>
      </c>
      <c r="H12" s="14">
        <f>H13+G12</f>
        <v>15000000</v>
      </c>
      <c r="I12" s="11"/>
    </row>
    <row r="13" spans="3:9" x14ac:dyDescent="0.35">
      <c r="C13" s="15" t="s">
        <v>12</v>
      </c>
      <c r="D13" s="15"/>
      <c r="E13" s="15"/>
      <c r="F13" s="15"/>
      <c r="G13" s="16">
        <f>SUM(G14:G18)</f>
        <v>7500000</v>
      </c>
      <c r="H13" s="17">
        <f>SUM(H14:H18)</f>
        <v>7500000</v>
      </c>
      <c r="I13" s="8">
        <f>SUM(G13:H13)</f>
        <v>15000000</v>
      </c>
    </row>
    <row r="14" spans="3:9" x14ac:dyDescent="0.35">
      <c r="C14" s="18" t="s">
        <v>13</v>
      </c>
      <c r="D14" s="18"/>
      <c r="E14" s="18"/>
      <c r="F14" s="18"/>
      <c r="G14" s="19">
        <f>D2*D1</f>
        <v>7500000</v>
      </c>
      <c r="H14" s="20">
        <f>D1*D3</f>
        <v>7500000</v>
      </c>
      <c r="I14" s="11"/>
    </row>
    <row r="15" spans="3:9" x14ac:dyDescent="0.35">
      <c r="C15" s="18"/>
      <c r="D15" s="18"/>
      <c r="E15" s="18"/>
      <c r="F15" s="18"/>
      <c r="G15" s="19"/>
      <c r="H15" s="20"/>
      <c r="I15" s="11"/>
    </row>
    <row r="16" spans="3:9" x14ac:dyDescent="0.35">
      <c r="C16" s="18"/>
      <c r="D16" s="18"/>
      <c r="E16" s="18"/>
      <c r="F16" s="18"/>
      <c r="G16" s="19"/>
      <c r="H16" s="20"/>
      <c r="I16" s="11"/>
    </row>
    <row r="17" spans="3:9" x14ac:dyDescent="0.35">
      <c r="C17" s="18"/>
      <c r="D17" s="18"/>
      <c r="E17" s="18"/>
      <c r="F17" s="18"/>
      <c r="G17" s="19"/>
      <c r="H17" s="20"/>
      <c r="I17" s="11"/>
    </row>
    <row r="18" spans="3:9" ht="15" thickBot="1" x14ac:dyDescent="0.4">
      <c r="C18" s="21"/>
      <c r="D18" s="21"/>
      <c r="E18" s="21"/>
      <c r="F18" s="21"/>
      <c r="G18" s="22"/>
      <c r="H18" s="23"/>
      <c r="I18" s="11"/>
    </row>
    <row r="19" spans="3:9" ht="16" thickBot="1" x14ac:dyDescent="0.4">
      <c r="C19" s="24" t="s">
        <v>14</v>
      </c>
      <c r="D19" s="25"/>
      <c r="E19" s="25"/>
      <c r="F19" s="25"/>
      <c r="G19" s="26">
        <f>G20</f>
        <v>6674552.7659574468</v>
      </c>
      <c r="H19" s="27">
        <f>G19+H20</f>
        <v>13293573.617021278</v>
      </c>
      <c r="I19" s="11"/>
    </row>
    <row r="20" spans="3:9" x14ac:dyDescent="0.35">
      <c r="C20" s="28" t="s">
        <v>15</v>
      </c>
      <c r="D20" s="28"/>
      <c r="E20" s="28"/>
      <c r="F20" s="28"/>
      <c r="G20" s="29">
        <f>G21+G22+G23+G24+G25+G30++G36+G37+G38+G39</f>
        <v>6674552.7659574468</v>
      </c>
      <c r="H20" s="30">
        <f>H21+H22+H23+H24+H25+H30+H36+H37+H38+H39</f>
        <v>6619020.8510638298</v>
      </c>
      <c r="I20" s="31">
        <f>SUM(G20:H20)</f>
        <v>13293573.617021278</v>
      </c>
    </row>
    <row r="21" spans="3:9" x14ac:dyDescent="0.35">
      <c r="C21" s="32" t="s">
        <v>16</v>
      </c>
      <c r="D21" s="33"/>
      <c r="E21" s="33"/>
      <c r="F21" s="33"/>
      <c r="G21" s="34">
        <v>400000</v>
      </c>
      <c r="H21" s="34">
        <v>400000</v>
      </c>
      <c r="I21" s="35">
        <f>G21+H21</f>
        <v>800000</v>
      </c>
    </row>
    <row r="22" spans="3:9" x14ac:dyDescent="0.35">
      <c r="C22" s="32" t="s">
        <v>17</v>
      </c>
      <c r="D22" s="33"/>
      <c r="E22" s="33"/>
      <c r="F22" s="33"/>
      <c r="G22" s="34">
        <v>30000</v>
      </c>
      <c r="H22" s="36">
        <v>0</v>
      </c>
      <c r="I22" s="35">
        <f t="shared" ref="I22:I39" si="0">G22+H22</f>
        <v>30000</v>
      </c>
    </row>
    <row r="23" spans="3:9" x14ac:dyDescent="0.35">
      <c r="C23" s="18" t="s">
        <v>13</v>
      </c>
      <c r="D23" s="18"/>
      <c r="E23" s="18"/>
      <c r="F23" s="18"/>
      <c r="G23" s="37">
        <f>D1*D2*D4</f>
        <v>1725000</v>
      </c>
      <c r="H23" s="38">
        <f>D1*D3*D4</f>
        <v>1725000</v>
      </c>
      <c r="I23" s="35">
        <f t="shared" si="0"/>
        <v>3450000</v>
      </c>
    </row>
    <row r="24" spans="3:9" x14ac:dyDescent="0.35">
      <c r="C24" s="18" t="s">
        <v>18</v>
      </c>
      <c r="D24" s="18"/>
      <c r="E24" s="18"/>
      <c r="F24" s="18"/>
      <c r="G24" s="39">
        <v>0</v>
      </c>
      <c r="H24" s="40">
        <v>0</v>
      </c>
      <c r="I24" s="35">
        <f t="shared" si="0"/>
        <v>0</v>
      </c>
    </row>
    <row r="25" spans="3:9" x14ac:dyDescent="0.35">
      <c r="C25" s="41" t="s">
        <v>19</v>
      </c>
      <c r="D25" s="18"/>
      <c r="E25" s="18"/>
      <c r="F25" s="18"/>
      <c r="G25" s="39">
        <f>SUM(G26:G29)</f>
        <v>2524340</v>
      </c>
      <c r="H25" s="39">
        <f>SUM(H26:H29)</f>
        <v>2524340</v>
      </c>
      <c r="I25" s="35">
        <f t="shared" si="0"/>
        <v>5048680</v>
      </c>
    </row>
    <row r="26" spans="3:9" x14ac:dyDescent="0.35">
      <c r="C26" s="18" t="s">
        <v>20</v>
      </c>
      <c r="D26" s="42">
        <v>12</v>
      </c>
      <c r="E26" s="43">
        <v>6500</v>
      </c>
      <c r="F26" s="18" t="s">
        <v>37</v>
      </c>
      <c r="G26" s="43">
        <f>(E26*D26)*1.46*D6</f>
        <v>797160</v>
      </c>
      <c r="H26" s="20">
        <f>(E26*D26)*1.46*D7</f>
        <v>797160</v>
      </c>
      <c r="I26" s="44">
        <f>G26+H26</f>
        <v>1594320</v>
      </c>
    </row>
    <row r="27" spans="3:9" x14ac:dyDescent="0.35">
      <c r="C27" s="18" t="s">
        <v>21</v>
      </c>
      <c r="D27" s="42">
        <v>6</v>
      </c>
      <c r="E27" s="43">
        <v>4000</v>
      </c>
      <c r="F27" s="18" t="s">
        <v>37</v>
      </c>
      <c r="G27" s="43">
        <f>(E27*D27)*1.46*D6</f>
        <v>245280</v>
      </c>
      <c r="H27" s="20">
        <f>(E27*D27)*1.46*D7</f>
        <v>245280</v>
      </c>
      <c r="I27" s="44">
        <f t="shared" si="0"/>
        <v>490560</v>
      </c>
    </row>
    <row r="28" spans="3:9" x14ac:dyDescent="0.35">
      <c r="C28" s="18" t="s">
        <v>22</v>
      </c>
      <c r="D28" s="42">
        <v>25</v>
      </c>
      <c r="E28" s="43">
        <v>4000</v>
      </c>
      <c r="F28" s="18" t="s">
        <v>37</v>
      </c>
      <c r="G28" s="43">
        <f>(E28*D28)*1.46*D6</f>
        <v>1022000</v>
      </c>
      <c r="H28" s="20">
        <f>(E28*D28)*1.46*D7</f>
        <v>1022000</v>
      </c>
      <c r="I28" s="44">
        <f t="shared" si="0"/>
        <v>2044000</v>
      </c>
    </row>
    <row r="29" spans="3:9" x14ac:dyDescent="0.35">
      <c r="C29" s="18" t="s">
        <v>23</v>
      </c>
      <c r="D29" s="42">
        <v>10</v>
      </c>
      <c r="E29" s="43">
        <v>4500</v>
      </c>
      <c r="F29" s="18" t="s">
        <v>37</v>
      </c>
      <c r="G29" s="43">
        <f>(E29*D29)*1.46*D6</f>
        <v>459900</v>
      </c>
      <c r="H29" s="20">
        <f>(E29*D29)*1.46*D7</f>
        <v>459900</v>
      </c>
      <c r="I29" s="44">
        <f t="shared" si="0"/>
        <v>919800</v>
      </c>
    </row>
    <row r="30" spans="3:9" x14ac:dyDescent="0.35">
      <c r="C30" s="41" t="s">
        <v>24</v>
      </c>
      <c r="D30" s="45"/>
      <c r="E30" s="46"/>
      <c r="F30" s="46"/>
      <c r="G30" s="46">
        <f>SUM(G31:G35)</f>
        <v>670212.76595744689</v>
      </c>
      <c r="H30" s="38">
        <f>SUM(H31:H35)</f>
        <v>644680.85106382985</v>
      </c>
      <c r="I30" s="35">
        <f t="shared" si="0"/>
        <v>1314893.6170212766</v>
      </c>
    </row>
    <row r="31" spans="3:9" x14ac:dyDescent="0.35">
      <c r="C31" s="18" t="s">
        <v>25</v>
      </c>
      <c r="D31" s="42">
        <v>1</v>
      </c>
      <c r="E31" s="43">
        <v>4000</v>
      </c>
      <c r="F31" s="18" t="s">
        <v>26</v>
      </c>
      <c r="G31" s="43">
        <f>(E31*D31*5*D6)/0.94</f>
        <v>148936.17021276595</v>
      </c>
      <c r="H31" s="43">
        <f>(D31*E31*5*D7)/0.94</f>
        <v>148936.17021276595</v>
      </c>
      <c r="I31" s="44">
        <f t="shared" si="0"/>
        <v>297872.3404255319</v>
      </c>
    </row>
    <row r="32" spans="3:9" x14ac:dyDescent="0.35">
      <c r="C32" s="18" t="s">
        <v>27</v>
      </c>
      <c r="D32" s="47">
        <v>4</v>
      </c>
      <c r="E32" s="43">
        <v>2000</v>
      </c>
      <c r="F32" s="18" t="s">
        <v>26</v>
      </c>
      <c r="G32" s="43">
        <f>(E32*D32*5*D6)/0.94</f>
        <v>297872.3404255319</v>
      </c>
      <c r="H32" s="48">
        <f>(E32*D32*5*D7)/0.94</f>
        <v>297872.3404255319</v>
      </c>
      <c r="I32" s="44">
        <f t="shared" si="0"/>
        <v>595744.68085106381</v>
      </c>
    </row>
    <row r="33" spans="3:9" x14ac:dyDescent="0.35">
      <c r="C33" s="18" t="s">
        <v>28</v>
      </c>
      <c r="D33" s="47">
        <v>1</v>
      </c>
      <c r="E33" s="43">
        <v>5000</v>
      </c>
      <c r="F33" s="18" t="s">
        <v>26</v>
      </c>
      <c r="G33" s="43">
        <f>(E33*D33*3*2)/0.94</f>
        <v>31914.89361702128</v>
      </c>
      <c r="H33" s="48">
        <f>(E33*D33*3*2)/0.94</f>
        <v>31914.89361702128</v>
      </c>
      <c r="I33" s="44">
        <f t="shared" si="0"/>
        <v>63829.78723404256</v>
      </c>
    </row>
    <row r="34" spans="3:9" x14ac:dyDescent="0.35">
      <c r="C34" s="49" t="s">
        <v>29</v>
      </c>
      <c r="D34" s="47">
        <v>2</v>
      </c>
      <c r="E34" s="43">
        <v>12000</v>
      </c>
      <c r="F34" s="18" t="s">
        <v>30</v>
      </c>
      <c r="G34" s="43">
        <f>(E34*D34*4)/0.94</f>
        <v>102127.6595744681</v>
      </c>
      <c r="H34" s="50">
        <f>(E34*D34*3)/0.94</f>
        <v>76595.744680851072</v>
      </c>
      <c r="I34" s="44">
        <f t="shared" si="0"/>
        <v>178723.40425531915</v>
      </c>
    </row>
    <row r="35" spans="3:9" x14ac:dyDescent="0.35">
      <c r="C35" s="18" t="s">
        <v>31</v>
      </c>
      <c r="D35" s="47">
        <v>2</v>
      </c>
      <c r="E35" s="43">
        <v>2000</v>
      </c>
      <c r="F35" s="18" t="s">
        <v>26</v>
      </c>
      <c r="G35" s="43">
        <f>(E35*D35*3*D6)/0.94</f>
        <v>89361.702127659577</v>
      </c>
      <c r="H35" s="48">
        <f>(E35*D35*3*D7)/0.94</f>
        <v>89361.702127659577</v>
      </c>
      <c r="I35" s="44">
        <f t="shared" si="0"/>
        <v>178723.40425531915</v>
      </c>
    </row>
    <row r="36" spans="3:9" x14ac:dyDescent="0.35">
      <c r="C36" s="18" t="s">
        <v>32</v>
      </c>
      <c r="D36" s="18"/>
      <c r="E36" s="18"/>
      <c r="F36" s="18"/>
      <c r="G36" s="46">
        <f>25000*D6</f>
        <v>175000</v>
      </c>
      <c r="H36" s="46">
        <f>25000*D7</f>
        <v>175000</v>
      </c>
      <c r="I36" s="35">
        <f t="shared" si="0"/>
        <v>350000</v>
      </c>
    </row>
    <row r="37" spans="3:9" x14ac:dyDescent="0.35">
      <c r="C37" s="18" t="s">
        <v>33</v>
      </c>
      <c r="D37" s="18"/>
      <c r="E37" s="43">
        <v>280000</v>
      </c>
      <c r="F37" s="18" t="s">
        <v>30</v>
      </c>
      <c r="G37" s="46">
        <f>E37*2</f>
        <v>560000</v>
      </c>
      <c r="H37" s="40">
        <f>E37*2</f>
        <v>560000</v>
      </c>
      <c r="I37" s="35">
        <f t="shared" si="0"/>
        <v>1120000</v>
      </c>
    </row>
    <row r="38" spans="3:9" x14ac:dyDescent="0.35">
      <c r="C38" s="18" t="s">
        <v>34</v>
      </c>
      <c r="D38" s="18"/>
      <c r="E38" s="43">
        <v>90000</v>
      </c>
      <c r="F38" s="18" t="s">
        <v>30</v>
      </c>
      <c r="G38" s="37">
        <f>E38*5</f>
        <v>450000</v>
      </c>
      <c r="H38" s="37">
        <f>E38*5</f>
        <v>450000</v>
      </c>
      <c r="I38" s="35">
        <f>G38+H38</f>
        <v>900000</v>
      </c>
    </row>
    <row r="39" spans="3:9" x14ac:dyDescent="0.35">
      <c r="C39" s="49" t="s">
        <v>35</v>
      </c>
      <c r="D39" s="49"/>
      <c r="E39" s="51">
        <v>20000</v>
      </c>
      <c r="F39" s="49" t="s">
        <v>30</v>
      </c>
      <c r="G39" s="52">
        <f>E39*D6</f>
        <v>140000</v>
      </c>
      <c r="H39" s="53">
        <f>E39*D7</f>
        <v>140000</v>
      </c>
      <c r="I39" s="35">
        <f t="shared" si="0"/>
        <v>280000</v>
      </c>
    </row>
    <row r="40" spans="3:9" ht="15" thickBot="1" x14ac:dyDescent="0.4">
      <c r="C40" s="18"/>
      <c r="D40" s="18"/>
      <c r="E40" s="18"/>
      <c r="F40" s="18"/>
      <c r="G40" s="19"/>
      <c r="H40" s="20"/>
      <c r="I40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Мясо и рыба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Королькова Кристина Анатольевна</dc:creator>
  <cp:lastModifiedBy>Королькова Кристина Анатольевна</cp:lastModifiedBy>
  <dcterms:created xsi:type="dcterms:W3CDTF">2026-09-25T08:07:44Z</dcterms:created>
  <dcterms:modified xsi:type="dcterms:W3CDTF">2026-09-29T11:37:16Z</dcterms:modified>
</cp:coreProperties>
</file>